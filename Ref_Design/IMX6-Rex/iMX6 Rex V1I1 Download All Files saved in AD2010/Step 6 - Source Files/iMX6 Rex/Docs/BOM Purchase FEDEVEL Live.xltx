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610" yWindow="105" windowWidth="18990" windowHeight="11760"/>
  </bookViews>
  <sheets>
    <sheet name="Part List Report" sheetId="3" r:id="rId1"/>
    <sheet name="Project Information" sheetId="4" r:id="rId2"/>
  </sheets>
  <calcPr calcId="145621"/>
  <fileRecoveryPr repairLoad="1"/>
</workbook>
</file>

<file path=xl/calcChain.xml><?xml version="1.0" encoding="utf-8"?>
<calcChain xmlns="http://schemas.openxmlformats.org/spreadsheetml/2006/main">
  <c r="L16" i="3" l="1"/>
  <c r="L15" i="3" l="1"/>
  <c r="N13" i="3"/>
  <c r="H13" i="3" l="1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<sst xmlns="http://schemas.openxmlformats.org/spreadsheetml/2006/main" count="70" uniqueCount="63">
  <si>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</si>
  <si>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</si>
  <si>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</si>
  <si>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</si>
  <si>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</si>
  <si>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</si>
  <si>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</si>
  <si>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</si>
  <si>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</si>
  <si>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</si>
  <si>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</si>
  <si>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</si>
  <si>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</si>
  <si>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</si>
  <si>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</si>
  <si>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</si>
  <si>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</si>
  <si>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</si>
  <si>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</si>
  <si>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</si>
  <si>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</si>
  <si>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</si>
  <si>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</si>
  <si>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</si>
  <si>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</si>
  <si>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</si>
  <si>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</si>
  <si>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</si>
  <si>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</si>
  <si>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</si>
  <si>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</si>
  <si>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</si>
  <si>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</si>
  <si>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</si>
  <si>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</si>
  <si>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</si>
  <si>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</si>
  <si>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</si>
  <si>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</si>
  <si>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</si>
  <si>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Column=Package / Case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</si>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</sst>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3" borderId="2" xfId="0" applyFont="1" applyFill="1" applyBorder="1" applyAlignment="1">
      <alignment vertical="top" wrapText="1"/>
    </xf>
    <xf numFmtId="0" fontId="14" fillId="4" borderId="0" xfId="0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3" borderId="5" xfId="0" applyFont="1" applyFill="1" applyBorder="1" applyAlignment="1">
      <alignment vertical="top" wrapText="1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vertical="top"/>
      <protection locked="0"/>
    </xf>
    <xf numFmtId="0" fontId="7" fillId="2" borderId="8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12" xfId="0" applyFont="1" applyFill="1" applyBorder="1" applyAlignment="1">
      <alignment horizontal="left"/>
    </xf>
    <xf numFmtId="0" fontId="10" fillId="5" borderId="12" xfId="0" applyFont="1" applyFill="1" applyBorder="1" applyAlignment="1"/>
    <xf numFmtId="0" fontId="9" fillId="5" borderId="13" xfId="0" applyFont="1" applyFill="1" applyBorder="1" applyAlignment="1">
      <alignment horizontal="left"/>
    </xf>
    <xf numFmtId="0" fontId="10" fillId="5" borderId="13" xfId="0" applyFont="1" applyFill="1" applyBorder="1" applyAlignment="1"/>
    <xf numFmtId="0" fontId="9" fillId="5" borderId="13" xfId="0" applyFont="1" applyFill="1" applyBorder="1" applyAlignment="1"/>
    <xf numFmtId="0" fontId="11" fillId="5" borderId="0" xfId="0" applyFont="1" applyFill="1" applyBorder="1" applyAlignment="1"/>
    <xf numFmtId="0" fontId="10" fillId="5" borderId="1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165" fontId="10" fillId="5" borderId="13" xfId="0" applyNumberFormat="1" applyFont="1" applyFill="1" applyBorder="1" applyAlignment="1">
      <alignment horizontal="left"/>
    </xf>
    <xf numFmtId="0" fontId="12" fillId="5" borderId="14" xfId="0" applyFont="1" applyFill="1" applyBorder="1" applyAlignment="1">
      <alignment vertical="center"/>
    </xf>
    <xf numFmtId="0" fontId="12" fillId="5" borderId="15" xfId="0" applyFont="1" applyFill="1" applyBorder="1" applyAlignment="1">
      <alignment vertical="center"/>
    </xf>
    <xf numFmtId="0" fontId="13" fillId="4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6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8" fillId="3" borderId="18" xfId="0" applyFont="1" applyFill="1" applyBorder="1" applyAlignment="1">
      <alignment vertical="top" wrapText="1"/>
    </xf>
    <xf numFmtId="0" fontId="8" fillId="3" borderId="19" xfId="0" applyFont="1" applyFill="1" applyBorder="1" applyAlignment="1">
      <alignment vertical="top" wrapText="1"/>
    </xf>
    <xf numFmtId="0" fontId="8" fillId="3" borderId="20" xfId="0" applyFont="1" applyFill="1" applyBorder="1" applyAlignment="1">
      <alignment vertical="top" wrapText="1"/>
    </xf>
    <xf numFmtId="0" fontId="8" fillId="6" borderId="23" xfId="0" applyFont="1" applyFill="1" applyBorder="1" applyAlignment="1">
      <alignment vertical="top" wrapText="1"/>
    </xf>
    <xf numFmtId="0" fontId="8" fillId="3" borderId="24" xfId="0" applyFont="1" applyFill="1" applyBorder="1" applyAlignment="1">
      <alignment vertical="top" wrapText="1"/>
    </xf>
    <xf numFmtId="0" fontId="8" fillId="6" borderId="26" xfId="0" applyFont="1" applyFill="1" applyBorder="1" applyAlignment="1">
      <alignment vertical="top" wrapText="1"/>
    </xf>
    <xf numFmtId="0" fontId="1" fillId="0" borderId="27" xfId="0" applyNumberFormat="1" applyFont="1" applyFill="1" applyBorder="1" applyAlignment="1" applyProtection="1">
      <alignment horizontal="left" vertical="top"/>
      <protection locked="0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5" fillId="2" borderId="22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2" borderId="29" xfId="0" applyFont="1" applyFill="1" applyBorder="1" applyAlignment="1">
      <alignment horizontal="center" vertical="center" wrapText="1"/>
    </xf>
    <xf numFmtId="0" fontId="8" fillId="3" borderId="30" xfId="0" applyFont="1" applyFill="1" applyBorder="1" applyAlignment="1">
      <alignment horizontal="right" vertical="top" wrapText="1"/>
    </xf>
    <xf numFmtId="0" fontId="8" fillId="6" borderId="31" xfId="0" applyFont="1" applyFill="1" applyBorder="1" applyAlignment="1">
      <alignment vertical="top" wrapText="1"/>
    </xf>
    <xf numFmtId="0" fontId="8" fillId="3" borderId="32" xfId="0" applyFont="1" applyFill="1" applyBorder="1" applyAlignment="1">
      <alignment vertical="top" wrapText="1"/>
    </xf>
    <xf numFmtId="0" fontId="15" fillId="5" borderId="32" xfId="0" applyFont="1" applyFill="1" applyBorder="1" applyAlignment="1">
      <alignment vertical="top" wrapText="1"/>
    </xf>
    <xf numFmtId="0" fontId="5" fillId="2" borderId="3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12" xfId="0" applyBorder="1" applyAlignment="1">
      <alignment vertical="top"/>
    </xf>
    <xf numFmtId="0" fontId="15" fillId="5" borderId="34" xfId="0" applyFont="1" applyFill="1" applyBorder="1" applyAlignment="1">
      <alignment vertical="top" wrapText="1"/>
    </xf>
    <xf numFmtId="0" fontId="0" fillId="0" borderId="10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12" xfId="0" applyBorder="1" applyAlignment="1">
      <alignment horizontal="left" vertical="top"/>
    </xf>
    <xf numFmtId="0" fontId="0" fillId="0" borderId="22" xfId="0" applyBorder="1" applyAlignment="1">
      <alignment vertical="top"/>
    </xf>
    <xf numFmtId="0" fontId="6" fillId="2" borderId="37" xfId="0" applyFont="1" applyFill="1" applyBorder="1" applyAlignment="1"/>
    <xf numFmtId="0" fontId="6" fillId="2" borderId="16" xfId="0" applyFont="1" applyFill="1" applyBorder="1" applyAlignment="1"/>
    <xf numFmtId="0" fontId="6" fillId="2" borderId="38" xfId="0" applyFont="1" applyFill="1" applyBorder="1" applyAlignment="1"/>
    <xf numFmtId="0" fontId="6" fillId="2" borderId="40" xfId="0" applyFont="1" applyFill="1" applyBorder="1" applyAlignment="1"/>
    <xf numFmtId="0" fontId="0" fillId="0" borderId="0" xfId="0" applyBorder="1" applyAlignment="1">
      <alignment horizontal="left" vertical="top"/>
    </xf>
    <xf numFmtId="0" fontId="6" fillId="2" borderId="40" xfId="0" applyFont="1" applyFill="1" applyBorder="1" applyAlignment="1">
      <alignment wrapText="1"/>
    </xf>
    <xf numFmtId="0" fontId="6" fillId="2" borderId="42" xfId="0" applyFont="1" applyFill="1" applyBorder="1" applyAlignment="1"/>
    <xf numFmtId="0" fontId="0" fillId="0" borderId="8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2" borderId="39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top"/>
    </xf>
    <xf numFmtId="0" fontId="8" fillId="3" borderId="21" xfId="0" applyFont="1" applyFill="1" applyBorder="1" applyAlignment="1">
      <alignment horizontal="left" vertical="top" wrapText="1"/>
    </xf>
    <xf numFmtId="0" fontId="8" fillId="6" borderId="28" xfId="0" applyFont="1" applyFill="1" applyBorder="1" applyAlignment="1">
      <alignment horizontal="left" vertical="top" wrapText="1"/>
    </xf>
    <xf numFmtId="0" fontId="8" fillId="3" borderId="25" xfId="0" applyFont="1" applyFill="1" applyBorder="1" applyAlignment="1">
      <alignment horizontal="left" vertical="top" wrapText="1"/>
    </xf>
    <xf numFmtId="0" fontId="0" fillId="0" borderId="41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6" fillId="2" borderId="16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 vertical="top" wrapText="1"/>
    </xf>
    <xf numFmtId="0" fontId="8" fillId="6" borderId="26" xfId="0" applyFont="1" applyFill="1" applyBorder="1" applyAlignment="1">
      <alignment horizontal="center" vertical="top" wrapText="1"/>
    </xf>
    <xf numFmtId="0" fontId="8" fillId="3" borderId="2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35" xfId="0" applyFont="1" applyBorder="1" applyAlignment="1">
      <alignment vertical="top"/>
    </xf>
    <xf numFmtId="0" fontId="0" fillId="0" borderId="36" xfId="0" applyBorder="1" applyAlignment="1">
      <alignment vertical="top"/>
    </xf>
    <xf numFmtId="0" fontId="4" fillId="0" borderId="0" xfId="0" applyFont="1" applyBorder="1" applyAlignment="1">
      <alignment horizontal="left" vertical="top"/>
    </xf>
    <xf numFmtId="2" fontId="0" fillId="0" borderId="16" xfId="0" applyNumberFormat="1" applyBorder="1" applyAlignment="1">
      <alignment horizontal="right" vertical="top"/>
    </xf>
    <xf numFmtId="2" fontId="8" fillId="3" borderId="30" xfId="0" applyNumberFormat="1" applyFont="1" applyFill="1" applyBorder="1" applyAlignment="1">
      <alignment horizontal="right" vertical="top" wrapText="1"/>
    </xf>
    <xf numFmtId="2" fontId="8" fillId="6" borderId="31" xfId="0" applyNumberFormat="1" applyFont="1" applyFill="1" applyBorder="1" applyAlignment="1">
      <alignment vertical="top" wrapText="1"/>
    </xf>
    <xf numFmtId="2" fontId="8" fillId="3" borderId="32" xfId="0" applyNumberFormat="1" applyFont="1" applyFill="1" applyBorder="1" applyAlignment="1">
      <alignment vertical="top" wrapText="1"/>
    </xf>
  </cellXfs>
  <cellStyles count="2">
    <cellStyle name="Hypertextové prepojenie" xfId="1" builtinId="8"/>
    <cellStyle name="Normálna" xfId="0" builtinId="0"/>
  </cellStyles>
  <dxfs count="38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428624</xdr:colOff>
      <xdr:row>2</xdr:row>
      <xdr:rowOff>47625</xdr:rowOff>
    </xdr:from>
    <xdr:to>
      <xdr:col>14</xdr:col>
      <xdr:colOff>477895</xdr:colOff>
      <xdr:row>6</xdr:row>
      <xdr:rowOff>171450</xdr:rowOff>
    </xdr:to>
    <xdr:pic>
      <xdr:nvPicPr>
        <xdr:cNvPr id="2" name="Obrázo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4049" y="695325"/>
          <a:ext cx="1154171" cy="1019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zoomScaleNormal="100" workbookViewId="0">
      <selection activeCell="N15" sqref="N15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7.5703125" style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28</v>
      </c>
      <c r="D3" s="18" t="s">
        <v>7</v>
      </c>
      <c r="E3" s="16"/>
      <c r="F3" s="48"/>
      <c r="G3" s="16" t="s">
        <v>55</v>
      </c>
      <c r="H3" s="48"/>
      <c r="I3" s="86"/>
      <c r="J3" s="16"/>
      <c r="K3" s="19" t="s">
        <v>52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29</v>
      </c>
      <c r="D4" s="20" t="s">
        <v>3</v>
      </c>
      <c r="E4" s="21"/>
      <c r="F4" s="48"/>
      <c r="G4" s="75" t="s">
        <v>57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30</v>
      </c>
      <c r="D5" s="22" t="s">
        <v>5</v>
      </c>
      <c r="E5" s="23"/>
      <c r="F5" s="48"/>
      <c r="G5" s="55" t="s">
        <v>56</v>
      </c>
      <c r="H5" s="19"/>
      <c r="I5" s="87"/>
      <c r="J5" s="19"/>
      <c r="K5" s="74" t="s">
        <v>53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 t="s">
        <v>58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33</v>
      </c>
      <c r="D7" s="26" t="s">
        <v>17</v>
      </c>
      <c r="E7" s="26" t="s">
        <v>15</v>
      </c>
      <c r="F7" s="48"/>
      <c r="G7" s="55" t="s">
        <v>59</v>
      </c>
      <c r="H7" s="25"/>
      <c r="I7" s="88"/>
      <c r="J7" s="25"/>
      <c r="K7" s="73" t="s">
        <v>54</v>
      </c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31</v>
      </c>
      <c r="D8" s="27">
        <f ca="1">TODAY()</f>
        <v>40943</v>
      </c>
      <c r="E8" s="28">
        <f ca="1">NOW()</f>
        <v>40943.703004513889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38</v>
      </c>
      <c r="C9" s="45" t="s">
        <v>39</v>
      </c>
      <c r="D9" s="45" t="s">
        <v>41</v>
      </c>
      <c r="E9" s="45" t="s">
        <v>42</v>
      </c>
      <c r="F9" s="45" t="s">
        <v>40</v>
      </c>
      <c r="G9" s="45" t="s">
        <v>32</v>
      </c>
      <c r="H9" s="45" t="s">
        <v>35</v>
      </c>
      <c r="I9" s="45" t="s">
        <v>43</v>
      </c>
      <c r="J9" s="45" t="s">
        <v>44</v>
      </c>
      <c r="K9" s="49" t="s">
        <v>45</v>
      </c>
      <c r="L9" s="54" t="s">
        <v>46</v>
      </c>
      <c r="M9" s="46" t="s">
        <v>47</v>
      </c>
      <c r="N9" s="46" t="s">
        <v>48</v>
      </c>
      <c r="O9" s="46" t="s">
        <v>49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4"/>
      <c r="N10" s="104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5"/>
      <c r="N11" s="105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6"/>
      <c r="N12" s="106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99" t="s">
        <v>36</v>
      </c>
      <c r="C14" s="99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60</v>
      </c>
      <c r="I15" s="97" t="s">
        <v>62</v>
      </c>
      <c r="J15" s="57" t="s">
        <v>50</v>
      </c>
      <c r="K15" s="48"/>
      <c r="L15" s="100">
        <f>N13</f>
        <v>0</v>
      </c>
      <c r="M15" s="101"/>
      <c r="N15" s="56" t="s">
        <v>51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61</v>
      </c>
      <c r="K16" s="8"/>
      <c r="L16" s="103" t="e">
        <f>L15/H15</f>
        <v>#VALUE!</v>
      </c>
      <c r="M16" s="103"/>
      <c r="N16" s="102" t="s">
        <v>51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hyperlinks>
    <hyperlink ref="K7" r:id="rId1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7" sqref="B7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11</v>
      </c>
    </row>
    <row r="7" spans="1:2" x14ac:dyDescent="0.2">
      <c r="A7" s="32" t="s">
        <v>12</v>
      </c>
      <c r="B7" s="34" t="s">
        <v>13</v>
      </c>
    </row>
    <row r="8" spans="1:2" x14ac:dyDescent="0.2">
      <c r="A8" s="31" t="s">
        <v>14</v>
      </c>
      <c r="B8" s="5" t="s">
        <v>15</v>
      </c>
    </row>
    <row r="9" spans="1:2" x14ac:dyDescent="0.2">
      <c r="A9" s="32" t="s">
        <v>16</v>
      </c>
      <c r="B9" s="34" t="s">
        <v>17</v>
      </c>
    </row>
    <row r="10" spans="1:2" x14ac:dyDescent="0.2">
      <c r="A10" s="31" t="s">
        <v>18</v>
      </c>
      <c r="B10" s="5" t="s">
        <v>19</v>
      </c>
    </row>
    <row r="11" spans="1:2" x14ac:dyDescent="0.2">
      <c r="A11" s="32" t="s">
        <v>20</v>
      </c>
      <c r="B11" s="34" t="s">
        <v>21</v>
      </c>
    </row>
    <row r="12" spans="1:2" x14ac:dyDescent="0.2">
      <c r="A12" s="31" t="s">
        <v>22</v>
      </c>
      <c r="B12" s="5" t="s">
        <v>23</v>
      </c>
    </row>
    <row r="13" spans="1:2" x14ac:dyDescent="0.2">
      <c r="A13" s="32" t="s">
        <v>24</v>
      </c>
      <c r="B13" s="34" t="s">
        <v>25</v>
      </c>
    </row>
    <row r="14" spans="1:2" x14ac:dyDescent="0.2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Feranec</dc:creator>
  <cp:lastModifiedBy>Robert Feranec</cp:lastModifiedBy>
  <cp:lastPrinted>2012-02-04T13:58:31Z</cp:lastPrinted>
  <dcterms:created xsi:type="dcterms:W3CDTF">2002-11-05T15:28:02Z</dcterms:created>
  <dcterms:modified xsi:type="dcterms:W3CDTF">2012-02-04T15:54:15Z</dcterms:modified>
</cp:coreProperties>
</file>